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uardonozabielli/Documents/LOCKS Comprovantes/E-mail Proposta Programa manutenção/"/>
    </mc:Choice>
  </mc:AlternateContent>
  <xr:revisionPtr revIDLastSave="0" documentId="13_ncr:1_{B4C82FB6-7F37-DB4B-AAFD-CE78FDB192BC}" xr6:coauthVersionLast="47" xr6:coauthVersionMax="47" xr10:uidLastSave="{00000000-0000-0000-0000-000000000000}"/>
  <bookViews>
    <workbookView xWindow="40" yWindow="660" windowWidth="30240" windowHeight="17640" activeTab="2" xr2:uid="{F27E6DA3-050F-4F43-891E-29CB1E784DA9}"/>
  </bookViews>
  <sheets>
    <sheet name=" 2024 a 2026 - Preventiva" sheetId="6" r:id="rId1"/>
    <sheet name="2024 a 2026 Corretiva" sheetId="5" r:id="rId2"/>
    <sheet name="2024 a 2026 Translado-test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4" l="1"/>
  <c r="D18" i="4"/>
  <c r="D24" i="6"/>
  <c r="D43" i="5"/>
  <c r="D19" i="6"/>
  <c r="D14" i="6"/>
  <c r="D9" i="6"/>
  <c r="D27" i="5"/>
  <c r="D14" i="4"/>
  <c r="D8" i="4"/>
  <c r="D48" i="5" l="1"/>
</calcChain>
</file>

<file path=xl/sharedStrings.xml><?xml version="1.0" encoding="utf-8"?>
<sst xmlns="http://schemas.openxmlformats.org/spreadsheetml/2006/main" count="108" uniqueCount="59">
  <si>
    <t>DATA</t>
  </si>
  <si>
    <t>TIPO DE MANUTENÇÃO</t>
  </si>
  <si>
    <t>ESPECIFICAÇÕES</t>
  </si>
  <si>
    <t>Inspeção de corrosão/ programa de manutenção Pilatus</t>
  </si>
  <si>
    <t>CORRETIVA</t>
  </si>
  <si>
    <t>PREVENTIVA - 6 MESES</t>
  </si>
  <si>
    <t xml:space="preserve">CORRETIVA- </t>
  </si>
  <si>
    <t>PREVENTIVA</t>
  </si>
  <si>
    <t xml:space="preserve">Taxi light inop. ( Garantia. Custo apenas de importação) </t>
  </si>
  <si>
    <t xml:space="preserve">CORRETIVA - </t>
  </si>
  <si>
    <t>Chip detector- garantia- somente custo de importação</t>
  </si>
  <si>
    <t xml:space="preserve">performed cargo door adjustment/test-switch with operation intermitent and replacement. </t>
  </si>
  <si>
    <t xml:space="preserve">PREVENTIVA - 6 MESES </t>
  </si>
  <si>
    <t>Inspeção de corrosão / programa de manutenção Pilatus</t>
  </si>
  <si>
    <t xml:space="preserve">film protection horizontal stabilizer- Lh side damaged (Garantia) </t>
  </si>
  <si>
    <t xml:space="preserve">De-ice boot propeller film replacement.  (Garantia) </t>
  </si>
  <si>
    <t>TOTAL DESPESAS MANUTENÇÃO 2024</t>
  </si>
  <si>
    <t>TOTAL DESPESAS MANUTENÇÃO 2025</t>
  </si>
  <si>
    <t xml:space="preserve">perfomed ajustment of club seat lh  ( Assento Club Seat)  (Garantia) </t>
  </si>
  <si>
    <t xml:space="preserve">performed cargo door operational test ( Motor da cargo door intermitente)  (Garantia) </t>
  </si>
  <si>
    <t>PS-STA</t>
  </si>
  <si>
    <t>AOA sensor LH - garantia- somente custo de importação.</t>
  </si>
  <si>
    <t xml:space="preserve">Inspeção CVA + Corretiva ( Planilha a parte com todos os itens verificados durante a manutenção ) </t>
  </si>
  <si>
    <t>Discrepancy: 1.42 LH AOA PLATE</t>
  </si>
  <si>
    <t xml:space="preserve">CVA  </t>
  </si>
  <si>
    <t>Discrepancy: 1.43  NEW EPECS SOFTWARE V501</t>
  </si>
  <si>
    <t>Discrepancy: 1.44      EASA AD 2025-0182 - EMERGENCY EXIT</t>
  </si>
  <si>
    <t>Discrepancy 1.45  EASA AD 2025-0201 - ATA – AEROPLANE FLIGHT MANUAL</t>
  </si>
  <si>
    <t>Discrepancy 1.46 (CUSTOMER REQUEST) TAXI LIGHT NOT WORKING PROPERLY</t>
  </si>
  <si>
    <t>Discrepancy 1.47 DURING THE ACCOMPLISHMENT OF WO 1565.6.10, CRACKED SEATPAN SKIN</t>
  </si>
  <si>
    <t>Discrepancy 1.48  (CUSTOMER REQUEST) SEAT #3RH WITH ARMREST LOCKED IN UP POSITION</t>
  </si>
  <si>
    <t>Import cost</t>
  </si>
  <si>
    <t>Comsumables</t>
  </si>
  <si>
    <t xml:space="preserve">1.25 24-30/520 - NI-CAD BATTERIES (MSN 2001 AND UP) REMOVE AND SERVICE(Células bateria)                                                                                                                                             </t>
  </si>
  <si>
    <t>Inspeção 12 meses + CVA</t>
  </si>
  <si>
    <t xml:space="preserve">CUSTO TOTAL </t>
  </si>
  <si>
    <t xml:space="preserve">Translado/ Voos de testes </t>
  </si>
  <si>
    <t xml:space="preserve">Despesas referentes a translado e voos de testes (Fonte: Airlocks) </t>
  </si>
  <si>
    <t>Translado / Voos de testes</t>
  </si>
  <si>
    <t>Despesas referentes a translado e voos de testes (Fonte: Airlocks)</t>
  </si>
  <si>
    <t xml:space="preserve">Translado / Voos de testes </t>
  </si>
  <si>
    <t xml:space="preserve">Despesas referentes a translado e voos de testes ( Fonte: Airlocks) </t>
  </si>
  <si>
    <t>Discrepancy - Taxi Light Inoperative - Import Cost</t>
  </si>
  <si>
    <t>AOA RH  Sensor   PN-975.44.21.426</t>
  </si>
  <si>
    <t>CONTROLLER TEMPERATURE  PN-975.44.21.417</t>
  </si>
  <si>
    <t xml:space="preserve">Painting the Radome, including Radome Erosion Boot </t>
  </si>
  <si>
    <t xml:space="preserve">Rudder Stop Cushion Washer Replaced </t>
  </si>
  <si>
    <t>AOA LH Sensor Replaced  PN-975.44.21.425 / Controller Temperature LH  PN- 975.44.21.417</t>
  </si>
  <si>
    <t xml:space="preserve">ENGINE COMPRESSOR DESALINATION WASH/ CONSUMABLES </t>
  </si>
  <si>
    <t>Perform Preliminary Inspection IAW FORM JTS - 17</t>
  </si>
  <si>
    <t>Replaced RH outer fuel quantity probe  PN - 975.37.31.253</t>
  </si>
  <si>
    <t xml:space="preserve">Check and replaced Taxi Light    </t>
  </si>
  <si>
    <t xml:space="preserve">Taxi Light (Import Cost) </t>
  </si>
  <si>
    <t xml:space="preserve">Custo de Atendimento em Curitiba-PR ( Pane de CSIO B) 2 dias de atendimento com substituição por CSIO emprestado. </t>
  </si>
  <si>
    <t>Cas message- AOA DEICE/ FUEL LEAKAGE L SIDE/ TAXI LIGHT INOP</t>
  </si>
  <si>
    <t xml:space="preserve">Custo de AOG - CSIO  </t>
  </si>
  <si>
    <t xml:space="preserve">CSIO B     PN - 7036333-1906         (IMPORT COST)  (HONEYWELL) </t>
  </si>
  <si>
    <t>TOTAL DESPESAS MANUTENÇÃO 2026</t>
  </si>
  <si>
    <t xml:space="preserve">CORRETIVA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</si>
</sst>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36"/>
      <color theme="1"/>
      <name val="Aptos Narrow"/>
      <scheme val="minor"/>
    </font>
    <font>
      <b/>
      <sz val="11"/>
      <color theme="0"/>
      <name val="Aptos Narrow"/>
      <family val="2"/>
      <scheme val="minor"/>
    </font>
    <font>
      <b/>
      <sz val="8"/>
      <color theme="1"/>
      <name val="CIDFont+F7"/>
    </font>
    <font>
      <sz val="9"/>
      <color theme="1"/>
      <name val="CIDFont+F7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2857C"/>
        <bgColor indexed="64"/>
      </patternFill>
    </fill>
    <fill>
      <patternFill patternType="solid">
        <fgColor rgb="FFFBB52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0" fillId="0" borderId="5" xfId="0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Fill="1"/>
    <xf numFmtId="0" fontId="3" fillId="0" borderId="0" xfId="0" applyFont="1" applyFill="1" applyAlignment="1">
      <alignment horizontal="center"/>
    </xf>
    <xf numFmtId="0" fontId="0" fillId="0" borderId="5" xfId="0" applyFill="1" applyBorder="1"/>
    <xf numFmtId="164" fontId="1" fillId="0" borderId="5" xfId="0" applyNumberFormat="1" applyFont="1" applyFill="1" applyBorder="1"/>
    <xf numFmtId="164" fontId="0" fillId="0" borderId="5" xfId="0" applyNumberFormat="1" applyFont="1" applyFill="1" applyBorder="1"/>
    <xf numFmtId="17" fontId="0" fillId="0" borderId="5" xfId="0" applyNumberFormat="1" applyFont="1" applyFill="1" applyBorder="1"/>
    <xf numFmtId="0" fontId="0" fillId="0" borderId="5" xfId="0" applyFont="1" applyFill="1" applyBorder="1"/>
    <xf numFmtId="164" fontId="6" fillId="0" borderId="5" xfId="0" applyNumberFormat="1" applyFont="1" applyFill="1" applyBorder="1"/>
    <xf numFmtId="0" fontId="0" fillId="4" borderId="5" xfId="0" applyFont="1" applyFill="1" applyBorder="1"/>
    <xf numFmtId="0" fontId="1" fillId="4" borderId="5" xfId="0" applyFont="1" applyFill="1" applyBorder="1"/>
    <xf numFmtId="0" fontId="5" fillId="4" borderId="5" xfId="0" applyFont="1" applyFill="1" applyBorder="1"/>
    <xf numFmtId="164" fontId="1" fillId="4" borderId="5" xfId="0" applyNumberFormat="1" applyFont="1" applyFill="1" applyBorder="1"/>
    <xf numFmtId="17" fontId="0" fillId="4" borderId="5" xfId="0" applyNumberFormat="1" applyFont="1" applyFill="1" applyBorder="1"/>
    <xf numFmtId="0" fontId="7" fillId="0" borderId="0" xfId="0" applyFont="1"/>
    <xf numFmtId="0" fontId="7" fillId="2" borderId="0" xfId="0" applyFont="1" applyFill="1"/>
    <xf numFmtId="0" fontId="9" fillId="3" borderId="0" xfId="0" applyFont="1" applyFill="1"/>
    <xf numFmtId="17" fontId="8" fillId="0" borderId="5" xfId="0" applyNumberFormat="1" applyFont="1" applyFill="1" applyBorder="1"/>
    <xf numFmtId="0" fontId="8" fillId="0" borderId="5" xfId="0" applyFont="1" applyFill="1" applyBorder="1"/>
    <xf numFmtId="164" fontId="7" fillId="0" borderId="5" xfId="0" applyNumberFormat="1" applyFont="1" applyFill="1" applyBorder="1"/>
    <xf numFmtId="0" fontId="8" fillId="4" borderId="5" xfId="0" applyFont="1" applyFill="1" applyBorder="1"/>
    <xf numFmtId="164" fontId="8" fillId="4" borderId="5" xfId="0" applyNumberFormat="1" applyFont="1" applyFill="1" applyBorder="1"/>
    <xf numFmtId="17" fontId="7" fillId="0" borderId="5" xfId="0" applyNumberFormat="1" applyFont="1" applyFill="1" applyBorder="1"/>
    <xf numFmtId="0" fontId="7" fillId="0" borderId="5" xfId="0" applyFont="1" applyFill="1" applyBorder="1"/>
    <xf numFmtId="164" fontId="8" fillId="0" borderId="5" xfId="0" applyNumberFormat="1" applyFont="1" applyFill="1" applyBorder="1"/>
    <xf numFmtId="0" fontId="7" fillId="0" borderId="5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 vertical="center"/>
    </xf>
    <xf numFmtId="0" fontId="7" fillId="0" borderId="0" xfId="0" applyFont="1" applyFill="1"/>
    <xf numFmtId="0" fontId="7" fillId="0" borderId="0" xfId="0" applyFont="1" applyFill="1" applyAlignment="1">
      <alignment horizontal="center"/>
    </xf>
    <xf numFmtId="17" fontId="8" fillId="4" borderId="5" xfId="0" applyNumberFormat="1" applyFont="1" applyFill="1" applyBorder="1"/>
    <xf numFmtId="0" fontId="8" fillId="0" borderId="0" xfId="0" applyFont="1"/>
    <xf numFmtId="0" fontId="2" fillId="0" borderId="0" xfId="0" applyFont="1" applyBorder="1"/>
    <xf numFmtId="164" fontId="10" fillId="0" borderId="5" xfId="0" applyNumberFormat="1" applyFont="1" applyFill="1" applyBorder="1"/>
    <xf numFmtId="17" fontId="10" fillId="0" borderId="5" xfId="0" applyNumberFormat="1" applyFont="1" applyFill="1" applyBorder="1"/>
    <xf numFmtId="0" fontId="10" fillId="0" borderId="5" xfId="0" applyFont="1" applyFill="1" applyBorder="1"/>
    <xf numFmtId="0" fontId="7" fillId="0" borderId="5" xfId="0" applyFont="1" applyFill="1" applyBorder="1" applyAlignment="1">
      <alignment vertical="center" wrapText="1"/>
    </xf>
    <xf numFmtId="0" fontId="7" fillId="0" borderId="6" xfId="0" applyFont="1" applyFill="1" applyBorder="1"/>
    <xf numFmtId="17" fontId="11" fillId="0" borderId="5" xfId="0" applyNumberFormat="1" applyFont="1" applyFill="1" applyBorder="1"/>
    <xf numFmtId="0" fontId="11" fillId="0" borderId="5" xfId="0" applyFont="1" applyFill="1" applyBorder="1"/>
    <xf numFmtId="164" fontId="11" fillId="0" borderId="5" xfId="0" applyNumberFormat="1" applyFont="1" applyFill="1" applyBorder="1"/>
    <xf numFmtId="0" fontId="0" fillId="0" borderId="5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/>
    </xf>
    <xf numFmtId="0" fontId="10" fillId="0" borderId="5" xfId="0" applyFont="1" applyFill="1" applyBorder="1" applyAlignment="1">
      <alignment horizontal="center"/>
    </xf>
    <xf numFmtId="0" fontId="2" fillId="0" borderId="5" xfId="0" applyFont="1" applyBorder="1"/>
    <xf numFmtId="0" fontId="3" fillId="0" borderId="5" xfId="0" applyFont="1" applyFill="1" applyBorder="1" applyAlignment="1">
      <alignment horizontal="center"/>
    </xf>
    <xf numFmtId="0" fontId="0" fillId="2" borderId="5" xfId="0" applyFill="1" applyBorder="1"/>
    <xf numFmtId="0" fontId="4" fillId="3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B529"/>
      <color rgb="FF0285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1790700</xdr:colOff>
      <xdr:row>1</xdr:row>
      <xdr:rowOff>447221</xdr:rowOff>
    </xdr:to>
    <xdr:pic>
      <xdr:nvPicPr>
        <xdr:cNvPr id="2" name="Imagem 2" descr="C:\Users\Eduardo\Downloads\Marca 160411-04.png">
          <a:extLst>
            <a:ext uri="{FF2B5EF4-FFF2-40B4-BE49-F238E27FC236}">
              <a16:creationId xmlns:a16="http://schemas.microsoft.com/office/drawing/2014/main" id="{8E194E64-8F49-8645-B6FC-C7BCF97B523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67000" cy="63772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1968500</xdr:colOff>
      <xdr:row>1</xdr:row>
      <xdr:rowOff>447221</xdr:rowOff>
    </xdr:to>
    <xdr:pic>
      <xdr:nvPicPr>
        <xdr:cNvPr id="2" name="Imagem 2" descr="C:\Users\Eduardo\Downloads\Marca 160411-04.png">
          <a:extLst>
            <a:ext uri="{FF2B5EF4-FFF2-40B4-BE49-F238E27FC236}">
              <a16:creationId xmlns:a16="http://schemas.microsoft.com/office/drawing/2014/main" id="{DACBE7A7-D3F8-8444-BD09-DF53AD0DBB7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67000" cy="63772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1993900</xdr:colOff>
      <xdr:row>1</xdr:row>
      <xdr:rowOff>447221</xdr:rowOff>
    </xdr:to>
    <xdr:pic>
      <xdr:nvPicPr>
        <xdr:cNvPr id="2" name="Imagem 2" descr="C:\Users\Eduardo\Downloads\Marca 160411-04.png">
          <a:extLst>
            <a:ext uri="{FF2B5EF4-FFF2-40B4-BE49-F238E27FC236}">
              <a16:creationId xmlns:a16="http://schemas.microsoft.com/office/drawing/2014/main" id="{E76F5EF6-7A81-1743-8005-FA3F3C9FE39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67000" cy="63772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B85BD-E64B-0940-957E-D28A1B217195}">
  <dimension ref="A1:D31"/>
  <sheetViews>
    <sheetView zoomScaleNormal="110" workbookViewId="0">
      <selection activeCell="D25" sqref="D25"/>
    </sheetView>
  </sheetViews>
  <sheetFormatPr baseColWidth="10" defaultColWidth="8.83203125" defaultRowHeight="15"/>
  <cols>
    <col min="1" max="1" width="11.5" customWidth="1"/>
    <col min="2" max="2" width="53" customWidth="1"/>
    <col min="3" max="3" width="86" customWidth="1"/>
    <col min="4" max="4" width="28.33203125" bestFit="1" customWidth="1"/>
  </cols>
  <sheetData>
    <row r="1" spans="1:4">
      <c r="A1" s="37"/>
      <c r="B1" s="37"/>
      <c r="C1" s="7"/>
    </row>
    <row r="2" spans="1:4" ht="38.5" customHeight="1">
      <c r="A2" s="37"/>
      <c r="B2" s="37"/>
      <c r="C2" s="8" t="s">
        <v>20</v>
      </c>
    </row>
    <row r="3" spans="1:4" s="20" customFormat="1" ht="16"/>
    <row r="4" spans="1:4" s="20" customFormat="1" ht="16">
      <c r="D4" s="21"/>
    </row>
    <row r="5" spans="1:4" s="20" customFormat="1" ht="16">
      <c r="A5" s="22" t="s">
        <v>0</v>
      </c>
      <c r="B5" s="22" t="s">
        <v>1</v>
      </c>
      <c r="C5" s="22" t="s">
        <v>2</v>
      </c>
      <c r="D5" s="22" t="s">
        <v>35</v>
      </c>
    </row>
    <row r="6" spans="1:4" s="20" customFormat="1" ht="16">
      <c r="A6" s="33"/>
      <c r="B6" s="34">
        <v>2024</v>
      </c>
      <c r="C6" s="33"/>
      <c r="D6" s="33"/>
    </row>
    <row r="7" spans="1:4" s="20" customFormat="1" ht="16">
      <c r="A7" s="28">
        <v>45413</v>
      </c>
      <c r="B7" s="29" t="s">
        <v>5</v>
      </c>
      <c r="C7" s="29" t="s">
        <v>3</v>
      </c>
      <c r="D7" s="25">
        <v>11615.56</v>
      </c>
    </row>
    <row r="8" spans="1:4" s="20" customFormat="1" ht="16">
      <c r="A8" s="28">
        <v>45505</v>
      </c>
      <c r="B8" s="29" t="s">
        <v>34</v>
      </c>
      <c r="C8" s="29"/>
      <c r="D8" s="25">
        <v>86275.06</v>
      </c>
    </row>
    <row r="9" spans="1:4" s="20" customFormat="1" ht="16">
      <c r="A9" s="35"/>
      <c r="B9" s="26" t="s">
        <v>16</v>
      </c>
      <c r="C9" s="26"/>
      <c r="D9" s="27">
        <f>SUM(D7:D8)</f>
        <v>97890.62</v>
      </c>
    </row>
    <row r="10" spans="1:4" s="20" customFormat="1" ht="16">
      <c r="A10" s="28"/>
      <c r="B10" s="29"/>
      <c r="C10" s="29"/>
      <c r="D10" s="25"/>
    </row>
    <row r="11" spans="1:4" s="20" customFormat="1" ht="16">
      <c r="A11" s="28"/>
      <c r="B11" s="32">
        <v>2025</v>
      </c>
      <c r="C11" s="29"/>
      <c r="D11" s="25"/>
    </row>
    <row r="12" spans="1:4" s="20" customFormat="1" ht="16">
      <c r="A12" s="28">
        <v>45689</v>
      </c>
      <c r="B12" s="29" t="s">
        <v>12</v>
      </c>
      <c r="C12" s="29" t="s">
        <v>13</v>
      </c>
      <c r="D12" s="25">
        <v>16873.23</v>
      </c>
    </row>
    <row r="13" spans="1:4" s="20" customFormat="1" ht="16">
      <c r="A13" s="28">
        <v>45901</v>
      </c>
      <c r="B13" s="29" t="s">
        <v>24</v>
      </c>
      <c r="C13" s="29" t="s">
        <v>22</v>
      </c>
      <c r="D13" s="25">
        <v>146750.92000000001</v>
      </c>
    </row>
    <row r="14" spans="1:4" s="36" customFormat="1" ht="16">
      <c r="A14" s="26"/>
      <c r="B14" s="26" t="s">
        <v>17</v>
      </c>
      <c r="C14" s="26"/>
      <c r="D14" s="27">
        <f>SUM(D11:D13)</f>
        <v>163624.15000000002</v>
      </c>
    </row>
    <row r="15" spans="1:4" s="20" customFormat="1" ht="16">
      <c r="A15" s="29"/>
      <c r="B15" s="29"/>
      <c r="C15" s="29"/>
      <c r="D15" s="29"/>
    </row>
    <row r="16" spans="1:4" s="20" customFormat="1" ht="16">
      <c r="A16" s="29"/>
      <c r="B16" s="31">
        <v>2026</v>
      </c>
      <c r="C16" s="29"/>
      <c r="D16" s="25"/>
    </row>
    <row r="17" spans="1:4" s="20" customFormat="1" ht="16">
      <c r="A17" s="28">
        <v>46082</v>
      </c>
      <c r="B17" s="29" t="s">
        <v>5</v>
      </c>
      <c r="C17" s="29" t="s">
        <v>13</v>
      </c>
      <c r="D17" s="25">
        <v>19760.12</v>
      </c>
    </row>
    <row r="18" spans="1:4" s="20" customFormat="1" ht="16">
      <c r="A18" s="28">
        <v>46082</v>
      </c>
      <c r="B18" s="29" t="s">
        <v>7</v>
      </c>
      <c r="C18" s="29" t="s">
        <v>48</v>
      </c>
      <c r="D18" s="25">
        <v>962.23</v>
      </c>
    </row>
    <row r="19" spans="1:4" s="36" customFormat="1" ht="16">
      <c r="A19" s="26"/>
      <c r="B19" s="26" t="s">
        <v>57</v>
      </c>
      <c r="C19" s="26"/>
      <c r="D19" s="27">
        <f>SUM(D17:D18)</f>
        <v>20722.349999999999</v>
      </c>
    </row>
    <row r="20" spans="1:4" s="20" customFormat="1" ht="16">
      <c r="A20" s="23"/>
      <c r="B20" s="24"/>
      <c r="C20" s="24"/>
      <c r="D20" s="30"/>
    </row>
    <row r="21" spans="1:4" s="20" customFormat="1" ht="16">
      <c r="A21" s="29"/>
      <c r="B21" s="29"/>
      <c r="C21" s="29"/>
      <c r="D21" s="25"/>
    </row>
    <row r="22" spans="1:4" s="20" customFormat="1" ht="16">
      <c r="A22" s="29"/>
      <c r="B22" s="29"/>
      <c r="C22" s="29"/>
      <c r="D22" s="25"/>
    </row>
    <row r="23" spans="1:4" s="20" customFormat="1" ht="16">
      <c r="A23" s="29"/>
      <c r="B23" s="29"/>
      <c r="C23" s="29"/>
      <c r="D23" s="25"/>
    </row>
    <row r="24" spans="1:4" s="20" customFormat="1" ht="16">
      <c r="A24" s="29"/>
      <c r="B24" s="29"/>
      <c r="C24" s="29"/>
      <c r="D24" s="30">
        <f>D9+D14+D19</f>
        <v>282237.12</v>
      </c>
    </row>
    <row r="25" spans="1:4" s="20" customFormat="1" ht="16"/>
    <row r="26" spans="1:4" s="20" customFormat="1" ht="16"/>
    <row r="27" spans="1:4" s="20" customFormat="1" ht="16">
      <c r="A27"/>
      <c r="B27"/>
      <c r="C27"/>
      <c r="D27"/>
    </row>
    <row r="28" spans="1:4" s="20" customFormat="1" ht="16">
      <c r="A28"/>
      <c r="B28"/>
      <c r="C28"/>
      <c r="D28"/>
    </row>
    <row r="29" spans="1:4" s="20" customFormat="1" ht="16">
      <c r="A29"/>
      <c r="B29"/>
      <c r="C29"/>
      <c r="D29"/>
    </row>
    <row r="30" spans="1:4" s="20" customFormat="1" ht="16">
      <c r="A30"/>
      <c r="B30"/>
      <c r="C30"/>
      <c r="D30"/>
    </row>
    <row r="31" spans="1:4" s="20" customFormat="1" ht="16">
      <c r="A31"/>
      <c r="B31"/>
      <c r="C31"/>
      <c r="D31"/>
    </row>
  </sheetData>
  <mergeCells count="1">
    <mergeCell ref="A1:B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469D-865A-0A41-8637-4D4C8B04AA0A}">
  <dimension ref="A1:D57"/>
  <sheetViews>
    <sheetView topLeftCell="A21" zoomScaleNormal="110" workbookViewId="0">
      <selection activeCell="B8" sqref="B8"/>
    </sheetView>
  </sheetViews>
  <sheetFormatPr baseColWidth="10" defaultColWidth="8.83203125" defaultRowHeight="15"/>
  <cols>
    <col min="1" max="1" width="9.1640625" bestFit="1" customWidth="1"/>
    <col min="2" max="2" width="53" customWidth="1"/>
    <col min="3" max="3" width="86" customWidth="1"/>
    <col min="4" max="4" width="28.1640625" bestFit="1" customWidth="1"/>
  </cols>
  <sheetData>
    <row r="1" spans="1:4">
      <c r="A1" s="3"/>
      <c r="B1" s="4"/>
      <c r="C1" s="7"/>
    </row>
    <row r="2" spans="1:4" ht="38.5" customHeight="1" thickBot="1">
      <c r="A2" s="5"/>
      <c r="B2" s="6"/>
      <c r="C2" s="8" t="s">
        <v>20</v>
      </c>
    </row>
    <row r="4" spans="1:4">
      <c r="D4" s="1"/>
    </row>
    <row r="5" spans="1:4" s="20" customFormat="1" ht="16">
      <c r="A5" s="22" t="s">
        <v>0</v>
      </c>
      <c r="B5" s="22" t="s">
        <v>1</v>
      </c>
      <c r="C5" s="22" t="s">
        <v>2</v>
      </c>
      <c r="D5" s="22" t="s">
        <v>35</v>
      </c>
    </row>
    <row r="6" spans="1:4" s="20" customFormat="1" ht="16">
      <c r="A6" s="28"/>
      <c r="B6" s="32">
        <v>2024</v>
      </c>
      <c r="C6" s="29"/>
      <c r="D6" s="25"/>
    </row>
    <row r="7" spans="1:4">
      <c r="A7" s="39">
        <v>45444</v>
      </c>
      <c r="B7" s="40" t="s">
        <v>9</v>
      </c>
      <c r="C7" s="40" t="s">
        <v>10</v>
      </c>
      <c r="D7" s="38">
        <v>9847.61</v>
      </c>
    </row>
    <row r="8" spans="1:4">
      <c r="A8" s="39">
        <v>45505</v>
      </c>
      <c r="B8" s="40" t="s">
        <v>6</v>
      </c>
      <c r="C8" s="40" t="s">
        <v>18</v>
      </c>
      <c r="D8" s="38">
        <v>298.97000000000003</v>
      </c>
    </row>
    <row r="9" spans="1:4">
      <c r="A9" s="39">
        <v>45505</v>
      </c>
      <c r="B9" s="40" t="s">
        <v>6</v>
      </c>
      <c r="C9" s="40" t="s">
        <v>19</v>
      </c>
      <c r="D9" s="38">
        <v>298.97000000000003</v>
      </c>
    </row>
    <row r="10" spans="1:4">
      <c r="A10" s="39"/>
      <c r="B10" s="48">
        <v>2025</v>
      </c>
      <c r="C10" s="40"/>
      <c r="D10" s="38"/>
    </row>
    <row r="11" spans="1:4" s="20" customFormat="1" ht="16">
      <c r="A11" s="28">
        <v>45689</v>
      </c>
      <c r="B11" s="29" t="s">
        <v>6</v>
      </c>
      <c r="C11" s="29" t="s">
        <v>11</v>
      </c>
      <c r="D11" s="25">
        <v>846.9</v>
      </c>
    </row>
    <row r="12" spans="1:4" s="20" customFormat="1" ht="16">
      <c r="A12" s="28">
        <v>45689</v>
      </c>
      <c r="B12" s="29" t="s">
        <v>6</v>
      </c>
      <c r="C12" s="29" t="s">
        <v>14</v>
      </c>
      <c r="D12" s="25">
        <v>349.96</v>
      </c>
    </row>
    <row r="13" spans="1:4" s="20" customFormat="1" ht="14.5" customHeight="1">
      <c r="A13" s="28">
        <v>45689</v>
      </c>
      <c r="B13" s="29" t="s">
        <v>6</v>
      </c>
      <c r="C13" s="29" t="s">
        <v>8</v>
      </c>
      <c r="D13" s="25">
        <v>349.96</v>
      </c>
    </row>
    <row r="14" spans="1:4" s="20" customFormat="1" ht="16">
      <c r="A14" s="28">
        <v>45689</v>
      </c>
      <c r="B14" s="29" t="s">
        <v>6</v>
      </c>
      <c r="C14" s="29" t="s">
        <v>15</v>
      </c>
      <c r="D14" s="25">
        <v>349.96</v>
      </c>
    </row>
    <row r="15" spans="1:4" s="20" customFormat="1" ht="16">
      <c r="A15" s="28">
        <v>45809</v>
      </c>
      <c r="B15" s="29" t="s">
        <v>6</v>
      </c>
      <c r="C15" s="29" t="s">
        <v>54</v>
      </c>
      <c r="D15" s="25">
        <v>6976.32</v>
      </c>
    </row>
    <row r="16" spans="1:4" s="20" customFormat="1" ht="16">
      <c r="A16" s="28">
        <v>45809</v>
      </c>
      <c r="B16" s="29" t="s">
        <v>6</v>
      </c>
      <c r="C16" s="29" t="s">
        <v>21</v>
      </c>
      <c r="D16" s="25">
        <v>14709.49</v>
      </c>
    </row>
    <row r="17" spans="1:4" s="20" customFormat="1" ht="16">
      <c r="A17" s="28">
        <v>45901</v>
      </c>
      <c r="B17" s="29" t="s">
        <v>4</v>
      </c>
      <c r="C17" s="29" t="s">
        <v>23</v>
      </c>
      <c r="D17" s="25">
        <v>12481.78</v>
      </c>
    </row>
    <row r="18" spans="1:4" s="20" customFormat="1" ht="16">
      <c r="A18" s="28">
        <v>45901</v>
      </c>
      <c r="B18" s="29" t="s">
        <v>4</v>
      </c>
      <c r="C18" s="29" t="s">
        <v>25</v>
      </c>
      <c r="D18" s="25">
        <v>2586.44</v>
      </c>
    </row>
    <row r="19" spans="1:4" s="20" customFormat="1" ht="17">
      <c r="A19" s="28">
        <v>45901</v>
      </c>
      <c r="B19" s="29" t="s">
        <v>4</v>
      </c>
      <c r="C19" s="41" t="s">
        <v>26</v>
      </c>
      <c r="D19" s="25">
        <v>349.99</v>
      </c>
    </row>
    <row r="20" spans="1:4" s="20" customFormat="1" ht="16">
      <c r="A20" s="28">
        <v>45901</v>
      </c>
      <c r="B20" s="29" t="s">
        <v>4</v>
      </c>
      <c r="C20" s="29" t="s">
        <v>27</v>
      </c>
      <c r="D20" s="25">
        <v>349.99</v>
      </c>
    </row>
    <row r="21" spans="1:4" s="20" customFormat="1" ht="16">
      <c r="A21" s="28">
        <v>45901</v>
      </c>
      <c r="B21" s="29" t="s">
        <v>4</v>
      </c>
      <c r="C21" s="29" t="s">
        <v>28</v>
      </c>
      <c r="D21" s="25">
        <v>2388.9</v>
      </c>
    </row>
    <row r="22" spans="1:4" s="20" customFormat="1" ht="16">
      <c r="A22" s="28">
        <v>45901</v>
      </c>
      <c r="B22" s="29" t="s">
        <v>4</v>
      </c>
      <c r="C22" s="29" t="s">
        <v>29</v>
      </c>
      <c r="D22" s="25">
        <v>7393.9</v>
      </c>
    </row>
    <row r="23" spans="1:4" s="20" customFormat="1" ht="16">
      <c r="A23" s="28">
        <v>45901</v>
      </c>
      <c r="B23" s="29" t="s">
        <v>4</v>
      </c>
      <c r="C23" s="29" t="s">
        <v>30</v>
      </c>
      <c r="D23" s="25">
        <v>484.06</v>
      </c>
    </row>
    <row r="24" spans="1:4" s="20" customFormat="1" ht="16">
      <c r="A24" s="28">
        <v>45901</v>
      </c>
      <c r="B24" s="29" t="s">
        <v>4</v>
      </c>
      <c r="C24" s="29" t="s">
        <v>31</v>
      </c>
      <c r="D24" s="25">
        <v>258.48</v>
      </c>
    </row>
    <row r="25" spans="1:4" s="20" customFormat="1" ht="16">
      <c r="A25" s="28">
        <v>45901</v>
      </c>
      <c r="B25" s="29" t="s">
        <v>4</v>
      </c>
      <c r="C25" s="42" t="s">
        <v>32</v>
      </c>
      <c r="D25" s="25">
        <v>569.32000000000005</v>
      </c>
    </row>
    <row r="26" spans="1:4" s="20" customFormat="1" ht="16">
      <c r="A26" s="28">
        <v>45901</v>
      </c>
      <c r="B26" s="29" t="s">
        <v>4</v>
      </c>
      <c r="C26" s="29" t="s">
        <v>33</v>
      </c>
      <c r="D26" s="25">
        <v>52959.99</v>
      </c>
    </row>
    <row r="27" spans="1:4" s="36" customFormat="1" ht="16">
      <c r="A27" s="26"/>
      <c r="B27" s="26" t="s">
        <v>17</v>
      </c>
      <c r="C27" s="26"/>
      <c r="D27" s="27">
        <f>SUM(D6:D26)</f>
        <v>113850.98999999999</v>
      </c>
    </row>
    <row r="28" spans="1:4" s="20" customFormat="1" ht="16">
      <c r="A28" s="29"/>
      <c r="B28" s="29"/>
      <c r="C28" s="29"/>
      <c r="D28" s="29"/>
    </row>
    <row r="29" spans="1:4" s="20" customFormat="1" ht="16">
      <c r="A29" s="29"/>
      <c r="B29" s="31">
        <v>2026</v>
      </c>
      <c r="C29" s="29"/>
      <c r="D29" s="25"/>
    </row>
    <row r="30" spans="1:4" s="20" customFormat="1" ht="16">
      <c r="A30" s="28">
        <v>46082</v>
      </c>
      <c r="B30" s="29" t="s">
        <v>4</v>
      </c>
      <c r="C30" s="29" t="s">
        <v>42</v>
      </c>
      <c r="D30" s="25">
        <v>2099.2600000000002</v>
      </c>
    </row>
    <row r="31" spans="1:4" s="20" customFormat="1" ht="16">
      <c r="A31" s="28">
        <v>46082</v>
      </c>
      <c r="B31" s="29" t="s">
        <v>4</v>
      </c>
      <c r="C31" s="29" t="s">
        <v>43</v>
      </c>
      <c r="D31" s="25">
        <v>4332.5600000000004</v>
      </c>
    </row>
    <row r="32" spans="1:4" s="20" customFormat="1" ht="16">
      <c r="A32" s="28">
        <v>46082</v>
      </c>
      <c r="B32" s="29" t="s">
        <v>4</v>
      </c>
      <c r="C32" s="29" t="s">
        <v>44</v>
      </c>
      <c r="D32" s="25">
        <v>17272.14</v>
      </c>
    </row>
    <row r="33" spans="1:4" s="20" customFormat="1" ht="16">
      <c r="A33" s="28">
        <v>46082</v>
      </c>
      <c r="B33" s="29" t="s">
        <v>4</v>
      </c>
      <c r="C33" s="29" t="s">
        <v>45</v>
      </c>
      <c r="D33" s="25">
        <v>4549.2</v>
      </c>
    </row>
    <row r="34" spans="1:4" s="20" customFormat="1" ht="16">
      <c r="A34" s="28">
        <v>46082</v>
      </c>
      <c r="B34" s="29" t="s">
        <v>4</v>
      </c>
      <c r="C34" s="29" t="s">
        <v>46</v>
      </c>
      <c r="D34" s="25">
        <v>733.96</v>
      </c>
    </row>
    <row r="35" spans="1:4" s="20" customFormat="1" ht="16">
      <c r="A35" s="28">
        <v>46082</v>
      </c>
      <c r="B35" s="29" t="s">
        <v>4</v>
      </c>
      <c r="C35" s="29" t="s">
        <v>47</v>
      </c>
      <c r="D35" s="25">
        <v>25733.23</v>
      </c>
    </row>
    <row r="36" spans="1:4" s="20" customFormat="1" ht="16">
      <c r="A36" s="28">
        <v>46204</v>
      </c>
      <c r="B36" s="29" t="s">
        <v>4</v>
      </c>
      <c r="C36" s="29" t="s">
        <v>49</v>
      </c>
      <c r="D36" s="25">
        <v>349.97</v>
      </c>
    </row>
    <row r="37" spans="1:4" s="20" customFormat="1" ht="16">
      <c r="A37" s="28">
        <v>46204</v>
      </c>
      <c r="B37" s="29" t="s">
        <v>4</v>
      </c>
      <c r="C37" s="29" t="s">
        <v>51</v>
      </c>
      <c r="D37" s="25">
        <v>349.97</v>
      </c>
    </row>
    <row r="38" spans="1:4" s="20" customFormat="1" ht="16">
      <c r="A38" s="28">
        <v>46204</v>
      </c>
      <c r="B38" s="29" t="s">
        <v>4</v>
      </c>
      <c r="C38" s="29" t="s">
        <v>52</v>
      </c>
      <c r="D38" s="25">
        <v>2417.0500000000002</v>
      </c>
    </row>
    <row r="39" spans="1:4" s="20" customFormat="1" ht="16">
      <c r="A39" s="28">
        <v>46204</v>
      </c>
      <c r="B39" s="29" t="s">
        <v>4</v>
      </c>
      <c r="C39" s="29" t="s">
        <v>50</v>
      </c>
      <c r="D39" s="25">
        <v>15099.2</v>
      </c>
    </row>
    <row r="40" spans="1:4" s="20" customFormat="1" ht="16">
      <c r="A40" s="28">
        <v>46204</v>
      </c>
      <c r="B40" s="29" t="s">
        <v>4</v>
      </c>
      <c r="C40" s="29" t="s">
        <v>53</v>
      </c>
      <c r="D40" s="25">
        <v>28332.81</v>
      </c>
    </row>
    <row r="41" spans="1:4" s="20" customFormat="1" ht="16">
      <c r="A41" s="28">
        <v>46204</v>
      </c>
      <c r="B41" s="29" t="s">
        <v>4</v>
      </c>
      <c r="C41" s="29" t="s">
        <v>56</v>
      </c>
      <c r="D41" s="25">
        <v>78343.72</v>
      </c>
    </row>
    <row r="42" spans="1:4" s="20" customFormat="1" ht="16">
      <c r="A42" s="28">
        <v>46204</v>
      </c>
      <c r="B42" s="29" t="s">
        <v>58</v>
      </c>
      <c r="C42" s="29" t="s">
        <v>55</v>
      </c>
      <c r="D42" s="25">
        <v>2597.5</v>
      </c>
    </row>
    <row r="43" spans="1:4" s="20" customFormat="1" ht="16">
      <c r="A43" s="26"/>
      <c r="B43" s="26" t="s">
        <v>17</v>
      </c>
      <c r="C43" s="26"/>
      <c r="D43" s="27">
        <f>SUM(D30:D42)</f>
        <v>182210.57</v>
      </c>
    </row>
    <row r="44" spans="1:4" s="20" customFormat="1" ht="16">
      <c r="A44" s="29"/>
      <c r="B44" s="29"/>
      <c r="C44" s="29"/>
      <c r="D44" s="25"/>
    </row>
    <row r="45" spans="1:4" s="20" customFormat="1" ht="16">
      <c r="A45" s="29"/>
      <c r="B45" s="29"/>
      <c r="C45" s="29"/>
      <c r="D45" s="25"/>
    </row>
    <row r="46" spans="1:4" s="20" customFormat="1" ht="16">
      <c r="A46" s="29"/>
      <c r="B46" s="29"/>
      <c r="C46" s="29"/>
      <c r="D46" s="25"/>
    </row>
    <row r="47" spans="1:4" s="20" customFormat="1" ht="16">
      <c r="A47" s="29"/>
      <c r="B47" s="29"/>
      <c r="C47" s="29"/>
      <c r="D47" s="25"/>
    </row>
    <row r="48" spans="1:4" s="20" customFormat="1" ht="16">
      <c r="A48" s="29"/>
      <c r="B48" s="29"/>
      <c r="C48" s="29"/>
      <c r="D48" s="30">
        <f>D43+D27</f>
        <v>296061.56</v>
      </c>
    </row>
    <row r="49" spans="1:4" s="20" customFormat="1" ht="16"/>
    <row r="50" spans="1:4" s="20" customFormat="1" ht="16"/>
    <row r="51" spans="1:4" s="20" customFormat="1" ht="16"/>
    <row r="52" spans="1:4" s="20" customFormat="1" ht="16"/>
    <row r="53" spans="1:4" s="20" customFormat="1" ht="16">
      <c r="A53"/>
      <c r="B53"/>
      <c r="C53"/>
      <c r="D53"/>
    </row>
    <row r="54" spans="1:4" s="20" customFormat="1" ht="16">
      <c r="A54"/>
      <c r="B54"/>
      <c r="C54"/>
      <c r="D54"/>
    </row>
    <row r="55" spans="1:4" s="20" customFormat="1" ht="16">
      <c r="A55"/>
      <c r="B55"/>
      <c r="C55"/>
      <c r="D55"/>
    </row>
    <row r="56" spans="1:4" s="20" customFormat="1" ht="16">
      <c r="A56"/>
      <c r="B56"/>
      <c r="C56"/>
      <c r="D56"/>
    </row>
    <row r="57" spans="1:4" s="20" customFormat="1" ht="16">
      <c r="A57"/>
      <c r="B57"/>
      <c r="C57"/>
      <c r="D57"/>
    </row>
  </sheetData>
  <mergeCells count="1">
    <mergeCell ref="A1:B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AAE80-9581-2244-8E44-4D9AC1173458}">
  <dimension ref="A1:D23"/>
  <sheetViews>
    <sheetView tabSelected="1" zoomScaleNormal="110" workbookViewId="0">
      <selection activeCell="C27" sqref="C27"/>
    </sheetView>
  </sheetViews>
  <sheetFormatPr baseColWidth="10" defaultColWidth="8.83203125" defaultRowHeight="15"/>
  <cols>
    <col min="2" max="2" width="53" customWidth="1"/>
    <col min="3" max="3" width="86" customWidth="1"/>
    <col min="4" max="4" width="27.83203125" bestFit="1" customWidth="1"/>
  </cols>
  <sheetData>
    <row r="1" spans="1:4">
      <c r="A1" s="49"/>
      <c r="B1" s="49"/>
      <c r="C1" s="9"/>
      <c r="D1" s="2"/>
    </row>
    <row r="2" spans="1:4" ht="38.5" customHeight="1">
      <c r="A2" s="49"/>
      <c r="B2" s="49"/>
      <c r="C2" s="50" t="s">
        <v>20</v>
      </c>
      <c r="D2" s="2"/>
    </row>
    <row r="3" spans="1:4">
      <c r="A3" s="2"/>
      <c r="B3" s="2"/>
      <c r="C3" s="2"/>
      <c r="D3" s="2"/>
    </row>
    <row r="4" spans="1:4">
      <c r="A4" s="2"/>
      <c r="B4" s="2"/>
      <c r="C4" s="2"/>
      <c r="D4" s="51"/>
    </row>
    <row r="5" spans="1:4">
      <c r="A5" s="52" t="s">
        <v>0</v>
      </c>
      <c r="B5" s="52" t="s">
        <v>1</v>
      </c>
      <c r="C5" s="52" t="s">
        <v>2</v>
      </c>
      <c r="D5" s="52" t="s">
        <v>35</v>
      </c>
    </row>
    <row r="6" spans="1:4">
      <c r="A6" s="44"/>
      <c r="B6" s="47">
        <v>2024</v>
      </c>
      <c r="C6" s="44"/>
      <c r="D6" s="44"/>
    </row>
    <row r="7" spans="1:4">
      <c r="A7" s="43"/>
      <c r="B7" s="44" t="s">
        <v>40</v>
      </c>
      <c r="C7" s="44" t="s">
        <v>41</v>
      </c>
      <c r="D7" s="45">
        <v>68775</v>
      </c>
    </row>
    <row r="8" spans="1:4">
      <c r="A8" s="19"/>
      <c r="B8" s="16" t="s">
        <v>16</v>
      </c>
      <c r="C8" s="15"/>
      <c r="D8" s="18">
        <f>SUM(D7:D7)</f>
        <v>68775</v>
      </c>
    </row>
    <row r="9" spans="1:4">
      <c r="A9" s="12"/>
      <c r="B9" s="13"/>
      <c r="C9" s="13"/>
      <c r="D9" s="11"/>
    </row>
    <row r="10" spans="1:4">
      <c r="A10" s="12"/>
      <c r="B10" s="46">
        <v>2025</v>
      </c>
      <c r="C10" s="13"/>
      <c r="D10" s="11"/>
    </row>
    <row r="11" spans="1:4">
      <c r="A11" s="12">
        <v>45689</v>
      </c>
      <c r="B11" s="13" t="s">
        <v>38</v>
      </c>
      <c r="C11" s="13" t="s">
        <v>39</v>
      </c>
      <c r="D11" s="11">
        <v>29862.5</v>
      </c>
    </row>
    <row r="12" spans="1:4">
      <c r="A12" s="12">
        <v>45809</v>
      </c>
      <c r="B12" s="13" t="s">
        <v>38</v>
      </c>
      <c r="C12" s="13" t="s">
        <v>37</v>
      </c>
      <c r="D12" s="11">
        <v>18725</v>
      </c>
    </row>
    <row r="13" spans="1:4">
      <c r="A13" s="12">
        <v>45901</v>
      </c>
      <c r="B13" s="13" t="s">
        <v>36</v>
      </c>
      <c r="C13" s="13" t="s">
        <v>37</v>
      </c>
      <c r="D13" s="14">
        <v>31353</v>
      </c>
    </row>
    <row r="14" spans="1:4">
      <c r="A14" s="15"/>
      <c r="B14" s="16" t="s">
        <v>17</v>
      </c>
      <c r="C14" s="17"/>
      <c r="D14" s="18">
        <f>SUM(D10:D13)</f>
        <v>79940.5</v>
      </c>
    </row>
    <row r="15" spans="1:4">
      <c r="A15" s="44"/>
      <c r="B15" s="44"/>
      <c r="C15" s="44"/>
      <c r="D15" s="44"/>
    </row>
    <row r="16" spans="1:4">
      <c r="A16" s="44"/>
      <c r="B16" s="47">
        <v>2026</v>
      </c>
      <c r="C16" s="44"/>
      <c r="D16" s="45"/>
    </row>
    <row r="17" spans="1:4">
      <c r="A17" s="43">
        <v>46082</v>
      </c>
      <c r="B17" s="44" t="s">
        <v>36</v>
      </c>
      <c r="C17" s="44" t="s">
        <v>41</v>
      </c>
      <c r="D17" s="45">
        <v>33488</v>
      </c>
    </row>
    <row r="18" spans="1:4">
      <c r="A18" s="15"/>
      <c r="B18" s="16" t="s">
        <v>17</v>
      </c>
      <c r="C18" s="17"/>
      <c r="D18" s="18">
        <f>D17</f>
        <v>33488</v>
      </c>
    </row>
    <row r="19" spans="1:4">
      <c r="A19" s="13"/>
      <c r="B19" s="13"/>
      <c r="C19" s="13"/>
      <c r="D19" s="11"/>
    </row>
    <row r="20" spans="1:4">
      <c r="A20" s="13"/>
      <c r="B20" s="13"/>
      <c r="C20" s="13"/>
      <c r="D20" s="11"/>
    </row>
    <row r="21" spans="1:4">
      <c r="A21" s="13"/>
      <c r="B21" s="13"/>
      <c r="C21" s="13"/>
      <c r="D21" s="11"/>
    </row>
    <row r="22" spans="1:4">
      <c r="A22" s="13"/>
      <c r="B22" s="13"/>
      <c r="C22" s="13"/>
      <c r="D22" s="11"/>
    </row>
    <row r="23" spans="1:4">
      <c r="A23" s="13"/>
      <c r="B23" s="13"/>
      <c r="C23" s="13"/>
      <c r="D23" s="10">
        <f>D8+D14+D18</f>
        <v>182203.5</v>
      </c>
    </row>
  </sheetData>
  <mergeCells count="1">
    <mergeCell ref="A1:B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2024 a 2026 - Preventiva</vt:lpstr>
      <vt:lpstr>2024 a 2026 Corretiva</vt:lpstr>
      <vt:lpstr>2024 a 2026 Translado-testes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oziel marques vieira</dc:creator>
  <cp:lastModifiedBy>Eduardo nb</cp:lastModifiedBy>
  <dcterms:created xsi:type="dcterms:W3CDTF">2025-05-29T00:31:47Z</dcterms:created>
  <dcterms:modified xsi:type="dcterms:W3CDTF">2026-10-04T21:49:23Z</dcterms:modified>
</cp:coreProperties>
</file>